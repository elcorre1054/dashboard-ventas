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ER\Alumnos\02-ADMINISTRACÓN DE EMPRESAS\@Clases\CLASE 6\"/>
    </mc:Choice>
  </mc:AlternateContent>
  <bookViews>
    <workbookView xWindow="0" yWindow="0" windowWidth="20496" windowHeight="7620"/>
  </bookViews>
  <sheets>
    <sheet name="VENTAS" sheetId="3" r:id="rId1"/>
  </sheets>
  <externalReferences>
    <externalReference r:id="rId2"/>
  </externalReferences>
  <definedNames>
    <definedName name="codigos">[1]!prod[CODIGO]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2" i="3" l="1"/>
  <c r="J72" i="3" s="1"/>
  <c r="G71" i="3"/>
  <c r="J71" i="3" s="1"/>
  <c r="G70" i="3"/>
  <c r="J70" i="3" s="1"/>
  <c r="G69" i="3"/>
  <c r="J69" i="3" s="1"/>
  <c r="G68" i="3"/>
  <c r="J68" i="3" s="1"/>
  <c r="G67" i="3"/>
  <c r="J67" i="3" s="1"/>
  <c r="G66" i="3"/>
  <c r="J66" i="3" s="1"/>
  <c r="G65" i="3"/>
  <c r="J65" i="3" s="1"/>
  <c r="G64" i="3"/>
  <c r="J64" i="3" s="1"/>
  <c r="G63" i="3"/>
  <c r="J63" i="3" s="1"/>
  <c r="G62" i="3"/>
  <c r="J62" i="3" s="1"/>
  <c r="G61" i="3"/>
  <c r="J61" i="3" s="1"/>
  <c r="G60" i="3"/>
  <c r="J60" i="3" s="1"/>
  <c r="G59" i="3"/>
  <c r="J59" i="3" s="1"/>
  <c r="G58" i="3"/>
  <c r="J58" i="3" s="1"/>
  <c r="J57" i="3"/>
  <c r="G57" i="3"/>
  <c r="G56" i="3"/>
  <c r="J56" i="3" s="1"/>
  <c r="G55" i="3"/>
  <c r="J55" i="3" s="1"/>
  <c r="G54" i="3"/>
  <c r="J54" i="3" s="1"/>
  <c r="G53" i="3"/>
  <c r="J53" i="3" s="1"/>
  <c r="G52" i="3"/>
  <c r="J52" i="3" s="1"/>
  <c r="G51" i="3"/>
  <c r="J51" i="3" s="1"/>
  <c r="G50" i="3"/>
  <c r="J50" i="3" s="1"/>
  <c r="G49" i="3"/>
  <c r="J49" i="3" s="1"/>
  <c r="G48" i="3"/>
  <c r="J48" i="3" s="1"/>
  <c r="G47" i="3"/>
  <c r="J47" i="3" s="1"/>
  <c r="G46" i="3"/>
  <c r="J46" i="3" s="1"/>
  <c r="G45" i="3"/>
  <c r="J45" i="3" s="1"/>
  <c r="G44" i="3"/>
  <c r="J44" i="3" s="1"/>
  <c r="G43" i="3"/>
  <c r="J43" i="3" s="1"/>
  <c r="G42" i="3"/>
  <c r="J42" i="3" s="1"/>
  <c r="G41" i="3"/>
  <c r="J41" i="3" s="1"/>
  <c r="G40" i="3"/>
  <c r="J40" i="3" s="1"/>
  <c r="G39" i="3"/>
  <c r="J39" i="3" s="1"/>
  <c r="G38" i="3"/>
  <c r="J38" i="3" s="1"/>
  <c r="G37" i="3"/>
  <c r="J37" i="3" s="1"/>
  <c r="G36" i="3"/>
  <c r="J36" i="3" s="1"/>
  <c r="G35" i="3"/>
  <c r="J35" i="3" s="1"/>
  <c r="G34" i="3"/>
  <c r="J34" i="3" s="1"/>
  <c r="G33" i="3"/>
  <c r="J33" i="3" s="1"/>
  <c r="G32" i="3"/>
  <c r="J32" i="3" s="1"/>
  <c r="G31" i="3"/>
  <c r="J31" i="3" s="1"/>
  <c r="G30" i="3"/>
  <c r="J30" i="3" s="1"/>
  <c r="G29" i="3"/>
  <c r="J29" i="3" s="1"/>
  <c r="G28" i="3"/>
  <c r="J28" i="3" s="1"/>
  <c r="G27" i="3"/>
  <c r="J27" i="3" s="1"/>
  <c r="G26" i="3"/>
  <c r="J26" i="3" s="1"/>
  <c r="G25" i="3"/>
  <c r="J25" i="3" s="1"/>
  <c r="G24" i="3"/>
  <c r="J24" i="3" s="1"/>
  <c r="G23" i="3"/>
  <c r="J23" i="3" s="1"/>
  <c r="G22" i="3"/>
  <c r="J22" i="3" s="1"/>
  <c r="G21" i="3"/>
  <c r="J21" i="3" s="1"/>
  <c r="G20" i="3"/>
  <c r="J20" i="3" s="1"/>
  <c r="G19" i="3"/>
  <c r="J19" i="3" s="1"/>
  <c r="G18" i="3"/>
  <c r="J18" i="3" s="1"/>
  <c r="G17" i="3"/>
  <c r="J17" i="3" s="1"/>
  <c r="G16" i="3"/>
  <c r="J16" i="3" s="1"/>
  <c r="G15" i="3"/>
  <c r="J15" i="3" s="1"/>
  <c r="G14" i="3"/>
  <c r="J14" i="3" s="1"/>
  <c r="G13" i="3"/>
  <c r="J13" i="3" s="1"/>
  <c r="G12" i="3"/>
  <c r="J12" i="3" s="1"/>
  <c r="G11" i="3"/>
  <c r="J11" i="3" s="1"/>
  <c r="G10" i="3"/>
  <c r="J10" i="3" s="1"/>
  <c r="G9" i="3"/>
  <c r="J9" i="3" s="1"/>
  <c r="G8" i="3"/>
  <c r="J8" i="3" s="1"/>
  <c r="G7" i="3"/>
  <c r="J7" i="3" s="1"/>
  <c r="G6" i="3"/>
  <c r="J6" i="3" s="1"/>
  <c r="G5" i="3"/>
  <c r="J5" i="3" s="1"/>
  <c r="G4" i="3"/>
  <c r="J4" i="3" s="1"/>
  <c r="G3" i="3"/>
  <c r="J3" i="3" s="1"/>
  <c r="G2" i="3"/>
  <c r="J2" i="3" s="1"/>
</calcChain>
</file>

<file path=xl/sharedStrings.xml><?xml version="1.0" encoding="utf-8"?>
<sst xmlns="http://schemas.openxmlformats.org/spreadsheetml/2006/main" count="366" uniqueCount="64">
  <si>
    <t>PRODUCTO</t>
  </si>
  <si>
    <t>DETALLE</t>
  </si>
  <si>
    <t>MARCA</t>
  </si>
  <si>
    <t>NOTEBOOK</t>
  </si>
  <si>
    <t>LENOVO</t>
  </si>
  <si>
    <t>CATEGORIA</t>
  </si>
  <si>
    <t>TV, AUDIO Y VIDEO</t>
  </si>
  <si>
    <t>SMART TV</t>
  </si>
  <si>
    <t>LG</t>
  </si>
  <si>
    <t>PHILIPS</t>
  </si>
  <si>
    <t>SAMSUNG</t>
  </si>
  <si>
    <t>RCA</t>
  </si>
  <si>
    <t>Smart TV 32" HD RCA L32NXSMART</t>
  </si>
  <si>
    <t>Smart TV 32" HD LG 32LJ600B</t>
  </si>
  <si>
    <t>Smart TV 4K 55" Philips PUG6212/77</t>
  </si>
  <si>
    <t>Smart TV 4K 55" Samsung UN55MU6100</t>
  </si>
  <si>
    <t>T001</t>
  </si>
  <si>
    <t>T002</t>
  </si>
  <si>
    <t>T003</t>
  </si>
  <si>
    <t>T004</t>
  </si>
  <si>
    <t>T005</t>
  </si>
  <si>
    <t>T006</t>
  </si>
  <si>
    <t>T007</t>
  </si>
  <si>
    <t>PARLANTE BLUETHOOT</t>
  </si>
  <si>
    <t>SONY</t>
  </si>
  <si>
    <t>PARLANTE PORTÁTIL BLUETOOTH SONY SRS-XB10</t>
  </si>
  <si>
    <t>MINICOMPONENTE</t>
  </si>
  <si>
    <t>PANASONIC</t>
  </si>
  <si>
    <t>MINICOMPONENTE PHILIPS FX30X/77</t>
  </si>
  <si>
    <t>MINICOMPONENTE PANASONIC SC-AKX100 BLANCO</t>
  </si>
  <si>
    <t>INFORMATICA</t>
  </si>
  <si>
    <t>CELULARES</t>
  </si>
  <si>
    <t>I001</t>
  </si>
  <si>
    <t>I002</t>
  </si>
  <si>
    <t>I003</t>
  </si>
  <si>
    <t>I004</t>
  </si>
  <si>
    <t>I005</t>
  </si>
  <si>
    <t>C001</t>
  </si>
  <si>
    <t>C002</t>
  </si>
  <si>
    <t>C003</t>
  </si>
  <si>
    <t>C004</t>
  </si>
  <si>
    <t>MONITOR</t>
  </si>
  <si>
    <t>VAIO</t>
  </si>
  <si>
    <t>BANGHO</t>
  </si>
  <si>
    <t xml:space="preserve">15.6" CORE I5 RAM 4GB FIT 15S </t>
  </si>
  <si>
    <t>14" CELERON RAM 3GB CLOUD GRIS</t>
  </si>
  <si>
    <t>15.6" PENTIUM RAM 4GB IDEAPAD 320-80XR019U</t>
  </si>
  <si>
    <t>19MP38A-B 19 Pulgadas</t>
  </si>
  <si>
    <t>22 Pulgadas Led Full HD 1080p 5ms HDMI</t>
  </si>
  <si>
    <t>CELULAR</t>
  </si>
  <si>
    <t>FUNDA</t>
  </si>
  <si>
    <t>Samsung Galaxy J6 Negro</t>
  </si>
  <si>
    <t>Moto G6 Deep Indigo</t>
  </si>
  <si>
    <t>MOTOROLA</t>
  </si>
  <si>
    <t>ALCATEL</t>
  </si>
  <si>
    <t>Alcatel 1 Negro metalico</t>
  </si>
  <si>
    <t>Style Case Washed Oak</t>
  </si>
  <si>
    <t>Fecha</t>
  </si>
  <si>
    <t>Cod</t>
  </si>
  <si>
    <t>CANTIDAD</t>
  </si>
  <si>
    <t>TOTAL</t>
  </si>
  <si>
    <t>PRECIO DE COSTO</t>
  </si>
  <si>
    <t xml:space="preserve">PRECIO  VENTA </t>
  </si>
  <si>
    <t>Total de 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</si>
</sst>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0" applyNumberFormat="1"/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neda" xfId="1" builtinId="4"/>
    <cellStyle name="Normal" xfId="0" builtinId="0"/>
  </cellStyles>
  <dxfs count="7">
    <dxf>
      <numFmt numFmtId="34" formatCode="_-&quot;$&quot;\ * #,##0.00_-;\-&quot;$&quot;\ * #,##0.00_-;_-&quot;$&quot;\ * &quot;-&quot;??_-;_-@_-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TC%20Argentina\Desktop\ITC\TEMARIOS%20GENERALES\Act%2024%20sem\ADM\PRACTICAS\Listado%20Pro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OS"/>
      <sheetName val="Hoja1 (2)"/>
      <sheetName val="Listado Prods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id="1" name="VENTAS2" displayName="VENTAS2" ref="A1:K72" totalsRowShown="0">
  <autoFilter ref="A1:K72"/>
  <sortState ref="A2:K72">
    <sortCondition ref="C1:C72"/>
  </sortState>
  <tableColumns count="11">
    <tableColumn id="1" name="Fecha" dataDxfId="6"/>
    <tableColumn id="2" name="Cod" dataDxfId="5"/>
    <tableColumn id="3" name="CATEGORIA"/>
    <tableColumn id="4" name="PRODUCTO"/>
    <tableColumn id="5" name="MARCA"/>
    <tableColumn id="6" name="DETALLE"/>
    <tableColumn id="11" name="PRECIO DE COSTO" dataDxfId="4">
      <calculatedColumnFormula>+VENTAS2[[#This Row],[PRECIO  VENTA ]]-VENTAS2[[#This Row],[PRECIO  VENTA ]]*22.5%</calculatedColumnFormula>
    </tableColumn>
    <tableColumn id="7" name="PRECIO  VENTA " dataDxfId="3" dataCellStyle="Moneda"/>
    <tableColumn id="8" name="CANTIDAD" dataDxfId="2"/>
    <tableColumn id="10" name="Total de Costo" dataDxfId="1">
      <calculatedColumnFormula>+VENTAS2[[#This Row],[PRECIO DE COSTO]]*VENTAS2[[#This Row],[CANTIDAD]]</calculatedColumnFormula>
    </tableColumn>
    <tableColumn id="9" name="TOTA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"/>
  <sheetViews>
    <sheetView tabSelected="1" workbookViewId="0">
      <selection sqref="A1:K72"/>
    </sheetView>
  </sheetViews>
  <sheetFormatPr baseColWidth="10" defaultRowHeight="14.4" x14ac:dyDescent="0.3"/>
  <cols>
    <col min="1" max="1" width="16" style="2" customWidth="1"/>
    <col min="2" max="2" width="9.109375" style="2" customWidth="1"/>
    <col min="3" max="3" width="21.109375" customWidth="1"/>
    <col min="4" max="4" width="25" customWidth="1"/>
    <col min="5" max="5" width="17.33203125" customWidth="1"/>
    <col min="6" max="6" width="47.6640625" bestFit="1" customWidth="1"/>
    <col min="7" max="7" width="18.6640625" customWidth="1"/>
    <col min="8" max="8" width="12.44140625" style="2" customWidth="1"/>
    <col min="9" max="9" width="14.88671875" customWidth="1"/>
  </cols>
  <sheetData>
    <row r="1" spans="1:11" x14ac:dyDescent="0.3">
      <c r="A1" s="2" t="s">
        <v>57</v>
      </c>
      <c r="B1" s="2" t="s">
        <v>58</v>
      </c>
      <c r="C1" t="s">
        <v>5</v>
      </c>
      <c r="D1" t="s">
        <v>0</v>
      </c>
      <c r="E1" t="s">
        <v>2</v>
      </c>
      <c r="F1" t="s">
        <v>1</v>
      </c>
      <c r="G1" t="s">
        <v>61</v>
      </c>
      <c r="H1" t="s">
        <v>62</v>
      </c>
      <c r="I1" s="2" t="s">
        <v>59</v>
      </c>
      <c r="J1" s="2" t="s">
        <v>63</v>
      </c>
      <c r="K1" t="s">
        <v>60</v>
      </c>
    </row>
    <row r="2" spans="1:11" x14ac:dyDescent="0.3">
      <c r="A2" s="4">
        <v>43111</v>
      </c>
      <c r="B2" s="2" t="s">
        <v>40</v>
      </c>
      <c r="C2" t="s">
        <v>31</v>
      </c>
      <c r="D2" t="s">
        <v>50</v>
      </c>
      <c r="E2" t="s">
        <v>53</v>
      </c>
      <c r="F2" t="s">
        <v>56</v>
      </c>
      <c r="G2" s="1">
        <f>+VENTAS2[[#This Row],[PRECIO  VENTA ]]-VENTAS2[[#This Row],[PRECIO  VENTA ]]*22.5%</f>
        <v>384.22243199999997</v>
      </c>
      <c r="H2" s="1">
        <v>495.77087999999998</v>
      </c>
      <c r="I2" s="2">
        <v>1</v>
      </c>
      <c r="J2" s="5">
        <f>+VENTAS2[[#This Row],[PRECIO DE COSTO]]*VENTAS2[[#This Row],[CANTIDAD]]</f>
        <v>384.22243199999997</v>
      </c>
      <c r="K2" s="3">
        <v>495.77087999999998</v>
      </c>
    </row>
    <row r="3" spans="1:11" x14ac:dyDescent="0.3">
      <c r="A3" s="4">
        <v>43130</v>
      </c>
      <c r="B3" s="2" t="s">
        <v>37</v>
      </c>
      <c r="C3" t="s">
        <v>31</v>
      </c>
      <c r="D3" t="s">
        <v>49</v>
      </c>
      <c r="E3" t="s">
        <v>10</v>
      </c>
      <c r="F3" t="s">
        <v>51</v>
      </c>
      <c r="G3" s="1">
        <f>+VENTAS2[[#This Row],[PRECIO  VENTA ]]-VENTAS2[[#This Row],[PRECIO  VENTA ]]*22.5%</f>
        <v>8265.3284999999996</v>
      </c>
      <c r="H3" s="1">
        <v>10664.94</v>
      </c>
      <c r="I3" s="2">
        <v>4</v>
      </c>
      <c r="J3" s="5">
        <f>+VENTAS2[[#This Row],[PRECIO DE COSTO]]*VENTAS2[[#This Row],[CANTIDAD]]</f>
        <v>33061.313999999998</v>
      </c>
      <c r="K3" s="3">
        <v>42659.76</v>
      </c>
    </row>
    <row r="4" spans="1:11" x14ac:dyDescent="0.3">
      <c r="A4" s="4">
        <v>43130</v>
      </c>
      <c r="B4" s="2" t="s">
        <v>40</v>
      </c>
      <c r="C4" t="s">
        <v>31</v>
      </c>
      <c r="D4" t="s">
        <v>50</v>
      </c>
      <c r="E4" t="s">
        <v>53</v>
      </c>
      <c r="F4" t="s">
        <v>56</v>
      </c>
      <c r="G4" s="1">
        <f>+VENTAS2[[#This Row],[PRECIO  VENTA ]]-VENTAS2[[#This Row],[PRECIO  VENTA ]]*22.5%</f>
        <v>340.65081599999996</v>
      </c>
      <c r="H4" s="1">
        <v>439.54943999999995</v>
      </c>
      <c r="I4" s="2">
        <v>3</v>
      </c>
      <c r="J4" s="5">
        <f>+VENTAS2[[#This Row],[PRECIO DE COSTO]]*VENTAS2[[#This Row],[CANTIDAD]]</f>
        <v>1021.9524479999999</v>
      </c>
      <c r="K4" s="3">
        <v>1318.6483199999998</v>
      </c>
    </row>
    <row r="5" spans="1:11" x14ac:dyDescent="0.3">
      <c r="A5" s="4">
        <v>43132</v>
      </c>
      <c r="B5" s="2" t="s">
        <v>37</v>
      </c>
      <c r="C5" t="s">
        <v>31</v>
      </c>
      <c r="D5" t="s">
        <v>49</v>
      </c>
      <c r="E5" t="s">
        <v>10</v>
      </c>
      <c r="F5" t="s">
        <v>51</v>
      </c>
      <c r="G5" s="1">
        <f>+VENTAS2[[#This Row],[PRECIO  VENTA ]]-VENTAS2[[#This Row],[PRECIO  VENTA ]]*22.5%</f>
        <v>6509.8604999999998</v>
      </c>
      <c r="H5" s="1">
        <v>8399.82</v>
      </c>
      <c r="I5" s="2">
        <v>1</v>
      </c>
      <c r="J5" s="5">
        <f>+VENTAS2[[#This Row],[PRECIO DE COSTO]]*VENTAS2[[#This Row],[CANTIDAD]]</f>
        <v>6509.8604999999998</v>
      </c>
      <c r="K5" s="3">
        <v>8399.82</v>
      </c>
    </row>
    <row r="6" spans="1:11" x14ac:dyDescent="0.3">
      <c r="A6" s="4">
        <v>43133</v>
      </c>
      <c r="B6" s="2" t="s">
        <v>40</v>
      </c>
      <c r="C6" t="s">
        <v>31</v>
      </c>
      <c r="D6" t="s">
        <v>50</v>
      </c>
      <c r="E6" t="s">
        <v>53</v>
      </c>
      <c r="F6" t="s">
        <v>56</v>
      </c>
      <c r="G6" s="1">
        <f>+VENTAS2[[#This Row],[PRECIO  VENTA ]]-VENTAS2[[#This Row],[PRECIO  VENTA ]]*22.5%</f>
        <v>443.63827199999997</v>
      </c>
      <c r="H6" s="1">
        <v>572.43647999999996</v>
      </c>
      <c r="I6" s="2">
        <v>2</v>
      </c>
      <c r="J6" s="5">
        <f>+VENTAS2[[#This Row],[PRECIO DE COSTO]]*VENTAS2[[#This Row],[CANTIDAD]]</f>
        <v>887.27654399999994</v>
      </c>
      <c r="K6" s="3">
        <v>1144.8729599999999</v>
      </c>
    </row>
    <row r="7" spans="1:11" x14ac:dyDescent="0.3">
      <c r="A7" s="4">
        <v>43140</v>
      </c>
      <c r="B7" s="2" t="s">
        <v>37</v>
      </c>
      <c r="C7" t="s">
        <v>31</v>
      </c>
      <c r="D7" t="s">
        <v>49</v>
      </c>
      <c r="E7" t="s">
        <v>10</v>
      </c>
      <c r="F7" t="s">
        <v>51</v>
      </c>
      <c r="G7" s="1">
        <f>+VENTAS2[[#This Row],[PRECIO  VENTA ]]-VENTAS2[[#This Row],[PRECIO  VENTA ]]*22.5%</f>
        <v>5851.5599999999995</v>
      </c>
      <c r="H7" s="1">
        <v>7550.4</v>
      </c>
      <c r="I7" s="2">
        <v>2</v>
      </c>
      <c r="J7" s="5">
        <f>+VENTAS2[[#This Row],[PRECIO DE COSTO]]*VENTAS2[[#This Row],[CANTIDAD]]</f>
        <v>11703.119999999999</v>
      </c>
      <c r="K7" s="3">
        <v>15100.8</v>
      </c>
    </row>
    <row r="8" spans="1:11" x14ac:dyDescent="0.3">
      <c r="A8" s="4">
        <v>43145</v>
      </c>
      <c r="B8" s="2" t="s">
        <v>38</v>
      </c>
      <c r="C8" t="s">
        <v>31</v>
      </c>
      <c r="D8" t="s">
        <v>49</v>
      </c>
      <c r="E8" t="s">
        <v>53</v>
      </c>
      <c r="F8" t="s">
        <v>52</v>
      </c>
      <c r="G8" s="1">
        <f>+VENTAS2[[#This Row],[PRECIO  VENTA ]]-VENTAS2[[#This Row],[PRECIO  VENTA ]]*22.5%</f>
        <v>12303.636344999999</v>
      </c>
      <c r="H8" s="1">
        <v>15875.659799999999</v>
      </c>
      <c r="I8" s="2">
        <v>4</v>
      </c>
      <c r="J8" s="5">
        <f>+VENTAS2[[#This Row],[PRECIO DE COSTO]]*VENTAS2[[#This Row],[CANTIDAD]]</f>
        <v>49214.545379999996</v>
      </c>
      <c r="K8" s="3">
        <v>63502.639199999998</v>
      </c>
    </row>
    <row r="9" spans="1:11" x14ac:dyDescent="0.3">
      <c r="A9" s="4">
        <v>43154</v>
      </c>
      <c r="B9" s="2" t="s">
        <v>39</v>
      </c>
      <c r="C9" t="s">
        <v>31</v>
      </c>
      <c r="D9" t="s">
        <v>49</v>
      </c>
      <c r="E9" t="s">
        <v>54</v>
      </c>
      <c r="F9" t="s">
        <v>55</v>
      </c>
      <c r="G9" s="1">
        <f>+VENTAS2[[#This Row],[PRECIO  VENTA ]]-VENTAS2[[#This Row],[PRECIO  VENTA ]]*22.5%</f>
        <v>4804.2432899999994</v>
      </c>
      <c r="H9" s="1">
        <v>6199.0235999999995</v>
      </c>
      <c r="I9" s="2">
        <v>4</v>
      </c>
      <c r="J9" s="5">
        <f>+VENTAS2[[#This Row],[PRECIO DE COSTO]]*VENTAS2[[#This Row],[CANTIDAD]]</f>
        <v>19216.973159999998</v>
      </c>
      <c r="K9" s="3">
        <v>24796.094399999998</v>
      </c>
    </row>
    <row r="10" spans="1:11" x14ac:dyDescent="0.3">
      <c r="A10" s="4">
        <v>43162</v>
      </c>
      <c r="B10" s="2" t="s">
        <v>40</v>
      </c>
      <c r="C10" t="s">
        <v>31</v>
      </c>
      <c r="D10" t="s">
        <v>50</v>
      </c>
      <c r="E10" t="s">
        <v>53</v>
      </c>
      <c r="F10" t="s">
        <v>56</v>
      </c>
      <c r="G10" s="1">
        <f>+VENTAS2[[#This Row],[PRECIO  VENTA ]]-VENTAS2[[#This Row],[PRECIO  VENTA ]]*22.5%</f>
        <v>320.84553599999998</v>
      </c>
      <c r="H10" s="1">
        <v>413.99423999999999</v>
      </c>
      <c r="I10" s="2">
        <v>3</v>
      </c>
      <c r="J10" s="5">
        <f>+VENTAS2[[#This Row],[PRECIO DE COSTO]]*VENTAS2[[#This Row],[CANTIDAD]]</f>
        <v>962.53660799999989</v>
      </c>
      <c r="K10" s="3">
        <v>1241.98272</v>
      </c>
    </row>
    <row r="11" spans="1:11" x14ac:dyDescent="0.3">
      <c r="A11" s="4">
        <v>43167</v>
      </c>
      <c r="B11" s="2" t="s">
        <v>40</v>
      </c>
      <c r="C11" t="s">
        <v>31</v>
      </c>
      <c r="D11" t="s">
        <v>50</v>
      </c>
      <c r="E11" t="s">
        <v>53</v>
      </c>
      <c r="F11" t="s">
        <v>56</v>
      </c>
      <c r="G11" s="1">
        <f>+VENTAS2[[#This Row],[PRECIO  VENTA ]]-VENTAS2[[#This Row],[PRECIO  VENTA ]]*22.5%</f>
        <v>364.41715199999999</v>
      </c>
      <c r="H11" s="1">
        <v>470.21568000000002</v>
      </c>
      <c r="I11" s="2">
        <v>2</v>
      </c>
      <c r="J11" s="5">
        <f>+VENTAS2[[#This Row],[PRECIO DE COSTO]]*VENTAS2[[#This Row],[CANTIDAD]]</f>
        <v>728.83430399999997</v>
      </c>
      <c r="K11" s="3">
        <v>940.43136000000004</v>
      </c>
    </row>
    <row r="12" spans="1:11" x14ac:dyDescent="0.3">
      <c r="A12" s="4">
        <v>43184</v>
      </c>
      <c r="B12" s="2" t="s">
        <v>40</v>
      </c>
      <c r="C12" t="s">
        <v>31</v>
      </c>
      <c r="D12" t="s">
        <v>50</v>
      </c>
      <c r="E12" t="s">
        <v>53</v>
      </c>
      <c r="F12" t="s">
        <v>56</v>
      </c>
      <c r="G12" s="1">
        <f>+VENTAS2[[#This Row],[PRECIO  VENTA ]]-VENTAS2[[#This Row],[PRECIO  VENTA ]]*22.5%</f>
        <v>459.48249599999997</v>
      </c>
      <c r="H12" s="1">
        <v>592.88063999999997</v>
      </c>
      <c r="I12" s="2">
        <v>3</v>
      </c>
      <c r="J12" s="5">
        <f>+VENTAS2[[#This Row],[PRECIO DE COSTO]]*VENTAS2[[#This Row],[CANTIDAD]]</f>
        <v>1378.4474879999998</v>
      </c>
      <c r="K12" s="3">
        <v>1778.64192</v>
      </c>
    </row>
    <row r="13" spans="1:11" x14ac:dyDescent="0.3">
      <c r="A13" s="4">
        <v>43196</v>
      </c>
      <c r="B13" s="2" t="s">
        <v>39</v>
      </c>
      <c r="C13" t="s">
        <v>31</v>
      </c>
      <c r="D13" t="s">
        <v>49</v>
      </c>
      <c r="E13" t="s">
        <v>54</v>
      </c>
      <c r="F13" t="s">
        <v>55</v>
      </c>
      <c r="G13" s="1">
        <f>+VENTAS2[[#This Row],[PRECIO  VENTA ]]-VENTAS2[[#This Row],[PRECIO  VENTA ]]*22.5%</f>
        <v>5477.7353399999993</v>
      </c>
      <c r="H13" s="1">
        <v>7068.0455999999995</v>
      </c>
      <c r="I13" s="2">
        <v>5</v>
      </c>
      <c r="J13" s="5">
        <f>+VENTAS2[[#This Row],[PRECIO DE COSTO]]*VENTAS2[[#This Row],[CANTIDAD]]</f>
        <v>27388.676699999996</v>
      </c>
      <c r="K13" s="3">
        <v>35340.227999999996</v>
      </c>
    </row>
    <row r="14" spans="1:11" x14ac:dyDescent="0.3">
      <c r="A14" s="4">
        <v>43206</v>
      </c>
      <c r="B14" s="2" t="s">
        <v>38</v>
      </c>
      <c r="C14" t="s">
        <v>31</v>
      </c>
      <c r="D14" t="s">
        <v>49</v>
      </c>
      <c r="E14" t="s">
        <v>53</v>
      </c>
      <c r="F14" t="s">
        <v>52</v>
      </c>
      <c r="G14" s="1">
        <f>+VENTAS2[[#This Row],[PRECIO  VENTA ]]-VENTAS2[[#This Row],[PRECIO  VENTA ]]*22.5%</f>
        <v>8938.5392250000004</v>
      </c>
      <c r="H14" s="1">
        <v>11533.599000000002</v>
      </c>
      <c r="I14" s="2">
        <v>4</v>
      </c>
      <c r="J14" s="5">
        <f>+VENTAS2[[#This Row],[PRECIO DE COSTO]]*VENTAS2[[#This Row],[CANTIDAD]]</f>
        <v>35754.156900000002</v>
      </c>
      <c r="K14" s="3">
        <v>46134.396000000008</v>
      </c>
    </row>
    <row r="15" spans="1:11" x14ac:dyDescent="0.3">
      <c r="A15" s="4">
        <v>43106</v>
      </c>
      <c r="B15" s="2" t="s">
        <v>36</v>
      </c>
      <c r="C15" t="s">
        <v>30</v>
      </c>
      <c r="D15" t="s">
        <v>41</v>
      </c>
      <c r="E15" t="s">
        <v>43</v>
      </c>
      <c r="F15" t="s">
        <v>48</v>
      </c>
      <c r="G15" s="1">
        <f>+VENTAS2[[#This Row],[PRECIO  VENTA ]]-VENTAS2[[#This Row],[PRECIO  VENTA ]]*22.5%</f>
        <v>4558.2151999999996</v>
      </c>
      <c r="H15" s="1">
        <v>5881.5679999999993</v>
      </c>
      <c r="I15" s="2">
        <v>3</v>
      </c>
      <c r="J15" s="5">
        <f>+VENTAS2[[#This Row],[PRECIO DE COSTO]]*VENTAS2[[#This Row],[CANTIDAD]]</f>
        <v>13674.6456</v>
      </c>
      <c r="K15" s="3">
        <v>17644.703999999998</v>
      </c>
    </row>
    <row r="16" spans="1:11" x14ac:dyDescent="0.3">
      <c r="A16" s="4">
        <v>43106</v>
      </c>
      <c r="B16" s="2" t="s">
        <v>33</v>
      </c>
      <c r="C16" t="s">
        <v>30</v>
      </c>
      <c r="D16" t="s">
        <v>3</v>
      </c>
      <c r="E16" t="s">
        <v>43</v>
      </c>
      <c r="F16" t="s">
        <v>45</v>
      </c>
      <c r="G16" s="1">
        <f>+VENTAS2[[#This Row],[PRECIO  VENTA ]]-VENTAS2[[#This Row],[PRECIO  VENTA ]]*22.5%</f>
        <v>8685.9093749999993</v>
      </c>
      <c r="H16" s="1">
        <v>11207.625</v>
      </c>
      <c r="I16" s="2">
        <v>1</v>
      </c>
      <c r="J16" s="5">
        <f>+VENTAS2[[#This Row],[PRECIO DE COSTO]]*VENTAS2[[#This Row],[CANTIDAD]]</f>
        <v>8685.9093749999993</v>
      </c>
      <c r="K16" s="3">
        <v>11207.625</v>
      </c>
    </row>
    <row r="17" spans="1:11" x14ac:dyDescent="0.3">
      <c r="A17" s="4">
        <v>43108</v>
      </c>
      <c r="B17" s="2" t="s">
        <v>33</v>
      </c>
      <c r="C17" t="s">
        <v>30</v>
      </c>
      <c r="D17" t="s">
        <v>3</v>
      </c>
      <c r="E17" t="s">
        <v>43</v>
      </c>
      <c r="F17" t="s">
        <v>45</v>
      </c>
      <c r="G17" s="1">
        <f>+VENTAS2[[#This Row],[PRECIO  VENTA ]]-VENTAS2[[#This Row],[PRECIO  VENTA ]]*22.5%</f>
        <v>7466.8343750000004</v>
      </c>
      <c r="H17" s="1">
        <v>9634.625</v>
      </c>
      <c r="I17" s="2">
        <v>1</v>
      </c>
      <c r="J17" s="5">
        <f>+VENTAS2[[#This Row],[PRECIO DE COSTO]]*VENTAS2[[#This Row],[CANTIDAD]]</f>
        <v>7466.8343750000004</v>
      </c>
      <c r="K17" s="3">
        <v>9634.625</v>
      </c>
    </row>
    <row r="18" spans="1:11" x14ac:dyDescent="0.3">
      <c r="A18" s="4">
        <v>43109</v>
      </c>
      <c r="B18" s="2" t="s">
        <v>32</v>
      </c>
      <c r="C18" t="s">
        <v>30</v>
      </c>
      <c r="D18" t="s">
        <v>3</v>
      </c>
      <c r="E18" t="s">
        <v>42</v>
      </c>
      <c r="F18" t="s">
        <v>44</v>
      </c>
      <c r="G18" s="1">
        <f>+VENTAS2[[#This Row],[PRECIO  VENTA ]]-VENTAS2[[#This Row],[PRECIO  VENTA ]]*22.5%</f>
        <v>10123.64892</v>
      </c>
      <c r="H18" s="1">
        <v>13062.772800000001</v>
      </c>
      <c r="I18" s="2">
        <v>5</v>
      </c>
      <c r="J18" s="5">
        <f>+VENTAS2[[#This Row],[PRECIO DE COSTO]]*VENTAS2[[#This Row],[CANTIDAD]]</f>
        <v>50618.244599999998</v>
      </c>
      <c r="K18" s="3">
        <v>65313.864000000001</v>
      </c>
    </row>
    <row r="19" spans="1:11" x14ac:dyDescent="0.3">
      <c r="A19" s="4">
        <v>43109</v>
      </c>
      <c r="B19" s="2" t="s">
        <v>32</v>
      </c>
      <c r="C19" t="s">
        <v>30</v>
      </c>
      <c r="D19" t="s">
        <v>3</v>
      </c>
      <c r="E19" t="s">
        <v>42</v>
      </c>
      <c r="F19" t="s">
        <v>44</v>
      </c>
      <c r="G19" s="1">
        <f>+VENTAS2[[#This Row],[PRECIO  VENTA ]]-VENTAS2[[#This Row],[PRECIO  VENTA ]]*22.5%</f>
        <v>11623.448759999999</v>
      </c>
      <c r="H19" s="1">
        <v>14997.9984</v>
      </c>
      <c r="I19" s="2">
        <v>1</v>
      </c>
      <c r="J19" s="5">
        <f>+VENTAS2[[#This Row],[PRECIO DE COSTO]]*VENTAS2[[#This Row],[CANTIDAD]]</f>
        <v>11623.448759999999</v>
      </c>
      <c r="K19" s="3">
        <v>14997.9984</v>
      </c>
    </row>
    <row r="20" spans="1:11" x14ac:dyDescent="0.3">
      <c r="A20" s="4">
        <v>43109</v>
      </c>
      <c r="B20" s="2" t="s">
        <v>35</v>
      </c>
      <c r="C20" t="s">
        <v>30</v>
      </c>
      <c r="D20" t="s">
        <v>41</v>
      </c>
      <c r="E20" t="s">
        <v>8</v>
      </c>
      <c r="F20" t="s">
        <v>47</v>
      </c>
      <c r="G20" s="1">
        <f>+VENTAS2[[#This Row],[PRECIO  VENTA ]]-VENTAS2[[#This Row],[PRECIO  VENTA ]]*22.5%</f>
        <v>2253.7170809999998</v>
      </c>
      <c r="H20" s="1">
        <v>2908.0220399999998</v>
      </c>
      <c r="I20" s="2">
        <v>2</v>
      </c>
      <c r="J20" s="5">
        <f>+VENTAS2[[#This Row],[PRECIO DE COSTO]]*VENTAS2[[#This Row],[CANTIDAD]]</f>
        <v>4507.4341619999996</v>
      </c>
      <c r="K20" s="3">
        <v>5816.0440799999997</v>
      </c>
    </row>
    <row r="21" spans="1:11" x14ac:dyDescent="0.3">
      <c r="A21" s="4">
        <v>43121</v>
      </c>
      <c r="B21" s="2" t="s">
        <v>36</v>
      </c>
      <c r="C21" t="s">
        <v>30</v>
      </c>
      <c r="D21" t="s">
        <v>41</v>
      </c>
      <c r="E21" t="s">
        <v>43</v>
      </c>
      <c r="F21" t="s">
        <v>48</v>
      </c>
      <c r="G21" s="1">
        <f>+VENTAS2[[#This Row],[PRECIO  VENTA ]]-VENTAS2[[#This Row],[PRECIO  VENTA ]]*22.5%</f>
        <v>4151.2316999999994</v>
      </c>
      <c r="H21" s="1">
        <v>5356.427999999999</v>
      </c>
      <c r="I21" s="2">
        <v>4</v>
      </c>
      <c r="J21" s="5">
        <f>+VENTAS2[[#This Row],[PRECIO DE COSTO]]*VENTAS2[[#This Row],[CANTIDAD]]</f>
        <v>16604.926799999997</v>
      </c>
      <c r="K21" s="3">
        <v>21425.711999999996</v>
      </c>
    </row>
    <row r="22" spans="1:11" x14ac:dyDescent="0.3">
      <c r="A22" s="4">
        <v>43133</v>
      </c>
      <c r="B22" s="2" t="s">
        <v>35</v>
      </c>
      <c r="C22" t="s">
        <v>30</v>
      </c>
      <c r="D22" t="s">
        <v>41</v>
      </c>
      <c r="E22" t="s">
        <v>8</v>
      </c>
      <c r="F22" t="s">
        <v>47</v>
      </c>
      <c r="G22" s="1">
        <f>+VENTAS2[[#This Row],[PRECIO  VENTA ]]-VENTAS2[[#This Row],[PRECIO  VENTA ]]*22.5%</f>
        <v>1898.9653182500001</v>
      </c>
      <c r="H22" s="1">
        <v>2450.27783</v>
      </c>
      <c r="I22" s="2">
        <v>4</v>
      </c>
      <c r="J22" s="5">
        <f>+VENTAS2[[#This Row],[PRECIO DE COSTO]]*VENTAS2[[#This Row],[CANTIDAD]]</f>
        <v>7595.8612730000004</v>
      </c>
      <c r="K22" s="3">
        <v>9801.11132</v>
      </c>
    </row>
    <row r="23" spans="1:11" x14ac:dyDescent="0.3">
      <c r="A23" s="4">
        <v>43147</v>
      </c>
      <c r="B23" s="2" t="s">
        <v>32</v>
      </c>
      <c r="C23" t="s">
        <v>30</v>
      </c>
      <c r="D23" t="s">
        <v>3</v>
      </c>
      <c r="E23" t="s">
        <v>42</v>
      </c>
      <c r="F23" t="s">
        <v>44</v>
      </c>
      <c r="G23" s="1">
        <f>+VENTAS2[[#This Row],[PRECIO  VENTA ]]-VENTAS2[[#This Row],[PRECIO  VENTA ]]*22.5%</f>
        <v>11061.023819999999</v>
      </c>
      <c r="H23" s="1">
        <v>14272.288799999998</v>
      </c>
      <c r="I23" s="2">
        <v>4</v>
      </c>
      <c r="J23" s="5">
        <f>+VENTAS2[[#This Row],[PRECIO DE COSTO]]*VENTAS2[[#This Row],[CANTIDAD]]</f>
        <v>44244.095279999994</v>
      </c>
      <c r="K23" s="3">
        <v>57089.155199999994</v>
      </c>
    </row>
    <row r="24" spans="1:11" x14ac:dyDescent="0.3">
      <c r="A24" s="4">
        <v>43171</v>
      </c>
      <c r="B24" s="2" t="s">
        <v>36</v>
      </c>
      <c r="C24" t="s">
        <v>30</v>
      </c>
      <c r="D24" t="s">
        <v>41</v>
      </c>
      <c r="E24" t="s">
        <v>43</v>
      </c>
      <c r="F24" t="s">
        <v>48</v>
      </c>
      <c r="G24" s="1">
        <f>+VENTAS2[[#This Row],[PRECIO  VENTA ]]-VENTAS2[[#This Row],[PRECIO  VENTA ]]*22.5%</f>
        <v>4314.0250999999998</v>
      </c>
      <c r="H24" s="1">
        <v>5566.4839999999995</v>
      </c>
      <c r="I24" s="2">
        <v>4</v>
      </c>
      <c r="J24" s="5">
        <f>+VENTAS2[[#This Row],[PRECIO DE COSTO]]*VENTAS2[[#This Row],[CANTIDAD]]</f>
        <v>17256.100399999999</v>
      </c>
      <c r="K24" s="3">
        <v>22265.935999999998</v>
      </c>
    </row>
    <row r="25" spans="1:11" x14ac:dyDescent="0.3">
      <c r="A25" s="4">
        <v>43174</v>
      </c>
      <c r="B25" s="2" t="s">
        <v>34</v>
      </c>
      <c r="C25" t="s">
        <v>30</v>
      </c>
      <c r="D25" t="s">
        <v>3</v>
      </c>
      <c r="E25" t="s">
        <v>4</v>
      </c>
      <c r="F25" t="s">
        <v>46</v>
      </c>
      <c r="G25" s="1">
        <f>+VENTAS2[[#This Row],[PRECIO  VENTA ]]-VENTAS2[[#This Row],[PRECIO  VENTA ]]*22.5%</f>
        <v>9318.6093000000001</v>
      </c>
      <c r="H25" s="1">
        <v>12024.011999999999</v>
      </c>
      <c r="I25" s="2">
        <v>3</v>
      </c>
      <c r="J25" s="5">
        <f>+VENTAS2[[#This Row],[PRECIO DE COSTO]]*VENTAS2[[#This Row],[CANTIDAD]]</f>
        <v>27955.8279</v>
      </c>
      <c r="K25" s="3">
        <v>36072.035999999993</v>
      </c>
    </row>
    <row r="26" spans="1:11" x14ac:dyDescent="0.3">
      <c r="A26" s="4">
        <v>43178</v>
      </c>
      <c r="B26" s="2" t="s">
        <v>36</v>
      </c>
      <c r="C26" t="s">
        <v>30</v>
      </c>
      <c r="D26" t="s">
        <v>41</v>
      </c>
      <c r="E26" t="s">
        <v>43</v>
      </c>
      <c r="F26" t="s">
        <v>48</v>
      </c>
      <c r="G26" s="1">
        <f>+VENTAS2[[#This Row],[PRECIO  VENTA ]]-VENTAS2[[#This Row],[PRECIO  VENTA ]]*22.5%</f>
        <v>4598.9135499999993</v>
      </c>
      <c r="H26" s="1">
        <v>5934.0819999999994</v>
      </c>
      <c r="I26" s="2">
        <v>2</v>
      </c>
      <c r="J26" s="5">
        <f>+VENTAS2[[#This Row],[PRECIO DE COSTO]]*VENTAS2[[#This Row],[CANTIDAD]]</f>
        <v>9197.8270999999986</v>
      </c>
      <c r="K26" s="3">
        <v>11868.163999999999</v>
      </c>
    </row>
    <row r="27" spans="1:11" x14ac:dyDescent="0.3">
      <c r="A27" s="4">
        <v>43200</v>
      </c>
      <c r="B27" s="2" t="s">
        <v>34</v>
      </c>
      <c r="C27" t="s">
        <v>30</v>
      </c>
      <c r="D27" t="s">
        <v>3</v>
      </c>
      <c r="E27" t="s">
        <v>4</v>
      </c>
      <c r="F27" t="s">
        <v>46</v>
      </c>
      <c r="G27" s="1">
        <f>+VENTAS2[[#This Row],[PRECIO  VENTA ]]-VENTAS2[[#This Row],[PRECIO  VENTA ]]*22.5%</f>
        <v>10957.046100000001</v>
      </c>
      <c r="H27" s="1">
        <v>14138.124000000002</v>
      </c>
      <c r="I27" s="2">
        <v>5</v>
      </c>
      <c r="J27" s="5">
        <f>+VENTAS2[[#This Row],[PRECIO DE COSTO]]*VENTAS2[[#This Row],[CANTIDAD]]</f>
        <v>54785.230500000005</v>
      </c>
      <c r="K27" s="3">
        <v>70690.62000000001</v>
      </c>
    </row>
    <row r="28" spans="1:11" x14ac:dyDescent="0.3">
      <c r="A28" s="4">
        <v>43206</v>
      </c>
      <c r="B28" s="2" t="s">
        <v>32</v>
      </c>
      <c r="C28" t="s">
        <v>30</v>
      </c>
      <c r="D28" t="s">
        <v>3</v>
      </c>
      <c r="E28" t="s">
        <v>42</v>
      </c>
      <c r="F28" t="s">
        <v>44</v>
      </c>
      <c r="G28" s="1">
        <f>+VENTAS2[[#This Row],[PRECIO  VENTA ]]-VENTAS2[[#This Row],[PRECIO  VENTA ]]*22.5%</f>
        <v>8905.0615500000004</v>
      </c>
      <c r="H28" s="1">
        <v>11490.402</v>
      </c>
      <c r="I28" s="2">
        <v>4</v>
      </c>
      <c r="J28" s="5">
        <f>+VENTAS2[[#This Row],[PRECIO DE COSTO]]*VENTAS2[[#This Row],[CANTIDAD]]</f>
        <v>35620.246200000001</v>
      </c>
      <c r="K28" s="3">
        <v>45961.608</v>
      </c>
    </row>
    <row r="29" spans="1:11" x14ac:dyDescent="0.3">
      <c r="A29" s="4">
        <v>43207</v>
      </c>
      <c r="B29" s="2" t="s">
        <v>32</v>
      </c>
      <c r="C29" t="s">
        <v>30</v>
      </c>
      <c r="D29" t="s">
        <v>3</v>
      </c>
      <c r="E29" t="s">
        <v>42</v>
      </c>
      <c r="F29" t="s">
        <v>44</v>
      </c>
      <c r="G29" s="1">
        <f>+VENTAS2[[#This Row],[PRECIO  VENTA ]]-VENTAS2[[#This Row],[PRECIO  VENTA ]]*22.5%</f>
        <v>10311.123900000001</v>
      </c>
      <c r="H29" s="1">
        <v>13304.676000000001</v>
      </c>
      <c r="I29" s="2">
        <v>3</v>
      </c>
      <c r="J29" s="5">
        <f>+VENTAS2[[#This Row],[PRECIO DE COSTO]]*VENTAS2[[#This Row],[CANTIDAD]]</f>
        <v>30933.371700000003</v>
      </c>
      <c r="K29" s="3">
        <v>39914.028000000006</v>
      </c>
    </row>
    <row r="30" spans="1:11" x14ac:dyDescent="0.3">
      <c r="A30" s="4">
        <v>43101</v>
      </c>
      <c r="B30" s="2" t="s">
        <v>21</v>
      </c>
      <c r="C30" t="s">
        <v>6</v>
      </c>
      <c r="D30" t="s">
        <v>26</v>
      </c>
      <c r="E30" t="s">
        <v>9</v>
      </c>
      <c r="F30" t="s">
        <v>28</v>
      </c>
      <c r="G30" s="1">
        <f>+VENTAS2[[#This Row],[PRECIO  VENTA ]]-VENTAS2[[#This Row],[PRECIO  VENTA ]]*22.5%</f>
        <v>5321.2623750000002</v>
      </c>
      <c r="H30" s="1">
        <v>6866.1450000000004</v>
      </c>
      <c r="I30" s="2">
        <v>4</v>
      </c>
      <c r="J30" s="5">
        <f>+VENTAS2[[#This Row],[PRECIO DE COSTO]]*VENTAS2[[#This Row],[CANTIDAD]]</f>
        <v>21285.049500000001</v>
      </c>
      <c r="K30" s="3">
        <v>27464.58</v>
      </c>
    </row>
    <row r="31" spans="1:11" x14ac:dyDescent="0.3">
      <c r="A31" s="4">
        <v>43104</v>
      </c>
      <c r="B31" s="2" t="s">
        <v>22</v>
      </c>
      <c r="C31" t="s">
        <v>6</v>
      </c>
      <c r="D31" t="s">
        <v>26</v>
      </c>
      <c r="E31" t="s">
        <v>27</v>
      </c>
      <c r="F31" t="s">
        <v>29</v>
      </c>
      <c r="G31" s="1">
        <f>+VENTAS2[[#This Row],[PRECIO  VENTA ]]-VENTAS2[[#This Row],[PRECIO  VENTA ]]*22.5%</f>
        <v>7018.4961000000003</v>
      </c>
      <c r="H31" s="1">
        <v>9056.1239999999998</v>
      </c>
      <c r="I31" s="2">
        <v>2</v>
      </c>
      <c r="J31" s="5">
        <f>+VENTAS2[[#This Row],[PRECIO DE COSTO]]*VENTAS2[[#This Row],[CANTIDAD]]</f>
        <v>14036.992200000001</v>
      </c>
      <c r="K31" s="3">
        <v>18112.248</v>
      </c>
    </row>
    <row r="32" spans="1:11" x14ac:dyDescent="0.3">
      <c r="A32" s="4">
        <v>43109</v>
      </c>
      <c r="B32" s="2" t="s">
        <v>22</v>
      </c>
      <c r="C32" t="s">
        <v>6</v>
      </c>
      <c r="D32" t="s">
        <v>26</v>
      </c>
      <c r="E32" t="s">
        <v>27</v>
      </c>
      <c r="F32" t="s">
        <v>29</v>
      </c>
      <c r="G32" s="1">
        <f>+VENTAS2[[#This Row],[PRECIO  VENTA ]]-VENTAS2[[#This Row],[PRECIO  VENTA ]]*22.5%</f>
        <v>7443.8594999999996</v>
      </c>
      <c r="H32" s="1">
        <v>9604.98</v>
      </c>
      <c r="I32" s="2">
        <v>5</v>
      </c>
      <c r="J32" s="5">
        <f>+VENTAS2[[#This Row],[PRECIO DE COSTO]]*VENTAS2[[#This Row],[CANTIDAD]]</f>
        <v>37219.297500000001</v>
      </c>
      <c r="K32" s="3">
        <v>48024.899999999994</v>
      </c>
    </row>
    <row r="33" spans="1:11" x14ac:dyDescent="0.3">
      <c r="A33" s="4">
        <v>43109</v>
      </c>
      <c r="B33" s="2" t="s">
        <v>20</v>
      </c>
      <c r="C33" t="s">
        <v>6</v>
      </c>
      <c r="D33" t="s">
        <v>23</v>
      </c>
      <c r="E33" t="s">
        <v>24</v>
      </c>
      <c r="F33" t="s">
        <v>25</v>
      </c>
      <c r="G33" s="1">
        <f>+VENTAS2[[#This Row],[PRECIO  VENTA ]]-VENTAS2[[#This Row],[PRECIO  VENTA ]]*22.5%</f>
        <v>1793.4468750000001</v>
      </c>
      <c r="H33" s="1">
        <v>2314.125</v>
      </c>
      <c r="I33" s="2">
        <v>1</v>
      </c>
      <c r="J33" s="5">
        <f>+VENTAS2[[#This Row],[PRECIO DE COSTO]]*VENTAS2[[#This Row],[CANTIDAD]]</f>
        <v>1793.4468750000001</v>
      </c>
      <c r="K33" s="3">
        <v>2314.125</v>
      </c>
    </row>
    <row r="34" spans="1:11" x14ac:dyDescent="0.3">
      <c r="A34" s="4">
        <v>43109</v>
      </c>
      <c r="B34" s="2" t="s">
        <v>17</v>
      </c>
      <c r="C34" t="s">
        <v>6</v>
      </c>
      <c r="D34" t="s">
        <v>7</v>
      </c>
      <c r="E34" t="s">
        <v>9</v>
      </c>
      <c r="F34" t="s">
        <v>14</v>
      </c>
      <c r="G34" s="1">
        <f>+VENTAS2[[#This Row],[PRECIO  VENTA ]]-VENTAS2[[#This Row],[PRECIO  VENTA ]]*22.5%</f>
        <v>19930.933811250001</v>
      </c>
      <c r="H34" s="1">
        <v>25717.33395</v>
      </c>
      <c r="I34" s="2">
        <v>4</v>
      </c>
      <c r="J34" s="5">
        <f>+VENTAS2[[#This Row],[PRECIO DE COSTO]]*VENTAS2[[#This Row],[CANTIDAD]]</f>
        <v>79723.735245000003</v>
      </c>
      <c r="K34" s="3">
        <v>102869.3358</v>
      </c>
    </row>
    <row r="35" spans="1:11" x14ac:dyDescent="0.3">
      <c r="A35" s="4">
        <v>43111</v>
      </c>
      <c r="B35" s="2" t="s">
        <v>18</v>
      </c>
      <c r="C35" t="s">
        <v>6</v>
      </c>
      <c r="D35" t="s">
        <v>7</v>
      </c>
      <c r="E35" t="s">
        <v>10</v>
      </c>
      <c r="F35" t="s">
        <v>15</v>
      </c>
      <c r="G35" s="1">
        <f>+VENTAS2[[#This Row],[PRECIO  VENTA ]]-VENTAS2[[#This Row],[PRECIO  VENTA ]]*22.5%</f>
        <v>28483.5936</v>
      </c>
      <c r="H35" s="1">
        <v>36753.023999999998</v>
      </c>
      <c r="I35" s="2">
        <v>4</v>
      </c>
      <c r="J35" s="5">
        <f>+VENTAS2[[#This Row],[PRECIO DE COSTO]]*VENTAS2[[#This Row],[CANTIDAD]]</f>
        <v>113934.3744</v>
      </c>
      <c r="K35" s="3">
        <v>147012.09599999999</v>
      </c>
    </row>
    <row r="36" spans="1:11" x14ac:dyDescent="0.3">
      <c r="A36" s="4">
        <v>43112</v>
      </c>
      <c r="B36" s="2" t="s">
        <v>16</v>
      </c>
      <c r="C36" t="s">
        <v>6</v>
      </c>
      <c r="D36" t="s">
        <v>7</v>
      </c>
      <c r="E36" t="s">
        <v>8</v>
      </c>
      <c r="F36" t="s">
        <v>13</v>
      </c>
      <c r="G36" s="1">
        <f>+VENTAS2[[#This Row],[PRECIO  VENTA ]]-VENTAS2[[#This Row],[PRECIO  VENTA ]]*22.5%</f>
        <v>9033.3457500000004</v>
      </c>
      <c r="H36" s="1">
        <v>11655.93</v>
      </c>
      <c r="I36" s="2">
        <v>4</v>
      </c>
      <c r="J36" s="5">
        <f>+VENTAS2[[#This Row],[PRECIO DE COSTO]]*VENTAS2[[#This Row],[CANTIDAD]]</f>
        <v>36133.383000000002</v>
      </c>
      <c r="K36" s="3">
        <v>46623.72</v>
      </c>
    </row>
    <row r="37" spans="1:11" x14ac:dyDescent="0.3">
      <c r="A37" s="4">
        <v>43115</v>
      </c>
      <c r="B37" s="2" t="s">
        <v>21</v>
      </c>
      <c r="C37" t="s">
        <v>6</v>
      </c>
      <c r="D37" t="s">
        <v>26</v>
      </c>
      <c r="E37" t="s">
        <v>9</v>
      </c>
      <c r="F37" t="s">
        <v>28</v>
      </c>
      <c r="G37" s="1">
        <f>+VENTAS2[[#This Row],[PRECIO  VENTA ]]-VENTAS2[[#This Row],[PRECIO  VENTA ]]*22.5%</f>
        <v>4608.1034999999993</v>
      </c>
      <c r="H37" s="1">
        <v>5945.94</v>
      </c>
      <c r="I37" s="2">
        <v>2</v>
      </c>
      <c r="J37" s="5">
        <f>+VENTAS2[[#This Row],[PRECIO DE COSTO]]*VENTAS2[[#This Row],[CANTIDAD]]</f>
        <v>9216.2069999999985</v>
      </c>
      <c r="K37" s="3">
        <v>11891.88</v>
      </c>
    </row>
    <row r="38" spans="1:11" x14ac:dyDescent="0.3">
      <c r="A38" s="4">
        <v>43481</v>
      </c>
      <c r="B38" s="2" t="s">
        <v>20</v>
      </c>
      <c r="C38" t="s">
        <v>6</v>
      </c>
      <c r="D38" t="s">
        <v>23</v>
      </c>
      <c r="E38" t="s">
        <v>24</v>
      </c>
      <c r="F38" t="s">
        <v>25</v>
      </c>
      <c r="G38" s="1">
        <f>+VENTAS2[[#This Row],[PRECIO  VENTA ]]-VENTAS2[[#This Row],[PRECIO  VENTA ]]*22.5%</f>
        <v>2363.13</v>
      </c>
      <c r="H38" s="1">
        <v>3049.2</v>
      </c>
      <c r="I38" s="2">
        <v>4</v>
      </c>
      <c r="J38" s="5">
        <f>+VENTAS2[[#This Row],[PRECIO DE COSTO]]*VENTAS2[[#This Row],[CANTIDAD]]</f>
        <v>9452.52</v>
      </c>
      <c r="K38" s="3">
        <v>12196.8</v>
      </c>
    </row>
    <row r="39" spans="1:11" x14ac:dyDescent="0.3">
      <c r="A39" s="4">
        <v>43484</v>
      </c>
      <c r="B39" s="2" t="s">
        <v>20</v>
      </c>
      <c r="C39" t="s">
        <v>6</v>
      </c>
      <c r="D39" t="s">
        <v>23</v>
      </c>
      <c r="E39" t="s">
        <v>24</v>
      </c>
      <c r="F39" t="s">
        <v>25</v>
      </c>
      <c r="G39" s="1">
        <f>+VENTAS2[[#This Row],[PRECIO  VENTA ]]-VENTAS2[[#This Row],[PRECIO  VENTA ]]*22.5%</f>
        <v>2405.3287500000001</v>
      </c>
      <c r="H39" s="1">
        <v>3103.65</v>
      </c>
      <c r="I39" s="2">
        <v>3</v>
      </c>
      <c r="J39" s="5">
        <f>+VENTAS2[[#This Row],[PRECIO DE COSTO]]*VENTAS2[[#This Row],[CANTIDAD]]</f>
        <v>7215.9862499999999</v>
      </c>
      <c r="K39" s="3">
        <v>9310.9500000000007</v>
      </c>
    </row>
    <row r="40" spans="1:11" x14ac:dyDescent="0.3">
      <c r="A40" s="4">
        <v>43124</v>
      </c>
      <c r="B40" s="2" t="s">
        <v>20</v>
      </c>
      <c r="C40" t="s">
        <v>6</v>
      </c>
      <c r="D40" t="s">
        <v>23</v>
      </c>
      <c r="E40" t="s">
        <v>24</v>
      </c>
      <c r="F40" t="s">
        <v>25</v>
      </c>
      <c r="G40" s="1">
        <f>+VENTAS2[[#This Row],[PRECIO  VENTA ]]-VENTAS2[[#This Row],[PRECIO  VENTA ]]*22.5%</f>
        <v>2510.8256249999999</v>
      </c>
      <c r="H40" s="1">
        <v>3239.7750000000001</v>
      </c>
      <c r="I40" s="2">
        <v>1</v>
      </c>
      <c r="J40" s="5">
        <f>+VENTAS2[[#This Row],[PRECIO DE COSTO]]*VENTAS2[[#This Row],[CANTIDAD]]</f>
        <v>2510.8256249999999</v>
      </c>
      <c r="K40" s="3">
        <v>3239.7750000000001</v>
      </c>
    </row>
    <row r="41" spans="1:11" x14ac:dyDescent="0.3">
      <c r="A41" s="4">
        <v>43491</v>
      </c>
      <c r="B41" s="2" t="s">
        <v>18</v>
      </c>
      <c r="C41" t="s">
        <v>6</v>
      </c>
      <c r="D41" t="s">
        <v>7</v>
      </c>
      <c r="E41" t="s">
        <v>10</v>
      </c>
      <c r="F41" t="s">
        <v>15</v>
      </c>
      <c r="G41" s="1">
        <f>+VENTAS2[[#This Row],[PRECIO  VENTA ]]-VENTAS2[[#This Row],[PRECIO  VENTA ]]*22.5%</f>
        <v>24954.652799999996</v>
      </c>
      <c r="H41" s="1">
        <v>32199.551999999996</v>
      </c>
      <c r="I41" s="2">
        <v>1</v>
      </c>
      <c r="J41" s="5">
        <f>+VENTAS2[[#This Row],[PRECIO DE COSTO]]*VENTAS2[[#This Row],[CANTIDAD]]</f>
        <v>24954.652799999996</v>
      </c>
      <c r="K41" s="3">
        <v>32199.551999999996</v>
      </c>
    </row>
    <row r="42" spans="1:11" x14ac:dyDescent="0.3">
      <c r="A42" s="4">
        <v>43127</v>
      </c>
      <c r="B42" s="2" t="s">
        <v>21</v>
      </c>
      <c r="C42" t="s">
        <v>6</v>
      </c>
      <c r="D42" t="s">
        <v>26</v>
      </c>
      <c r="E42" t="s">
        <v>9</v>
      </c>
      <c r="F42" t="s">
        <v>28</v>
      </c>
      <c r="G42" s="1">
        <f>+VENTAS2[[#This Row],[PRECIO  VENTA ]]-VENTAS2[[#This Row],[PRECIO  VENTA ]]*22.5%</f>
        <v>6637.8633750000008</v>
      </c>
      <c r="H42" s="1">
        <v>8564.9850000000006</v>
      </c>
      <c r="I42" s="2">
        <v>2</v>
      </c>
      <c r="J42" s="5">
        <f>+VENTAS2[[#This Row],[PRECIO DE COSTO]]*VENTAS2[[#This Row],[CANTIDAD]]</f>
        <v>13275.726750000002</v>
      </c>
      <c r="K42" s="3">
        <v>17129.97</v>
      </c>
    </row>
    <row r="43" spans="1:11" x14ac:dyDescent="0.3">
      <c r="A43" s="4">
        <v>43493</v>
      </c>
      <c r="B43" s="2" t="s">
        <v>22</v>
      </c>
      <c r="C43" t="s">
        <v>6</v>
      </c>
      <c r="D43" t="s">
        <v>26</v>
      </c>
      <c r="E43" t="s">
        <v>27</v>
      </c>
      <c r="F43" t="s">
        <v>29</v>
      </c>
      <c r="G43" s="1">
        <f>+VENTAS2[[#This Row],[PRECIO  VENTA ]]-VENTAS2[[#This Row],[PRECIO  VENTA ]]*22.5%</f>
        <v>6593.1327000000001</v>
      </c>
      <c r="H43" s="1">
        <v>8507.268</v>
      </c>
      <c r="I43" s="2">
        <v>3</v>
      </c>
      <c r="J43" s="5">
        <f>+VENTAS2[[#This Row],[PRECIO DE COSTO]]*VENTAS2[[#This Row],[CANTIDAD]]</f>
        <v>19779.398099999999</v>
      </c>
      <c r="K43" s="3">
        <v>25521.804</v>
      </c>
    </row>
    <row r="44" spans="1:11" x14ac:dyDescent="0.3">
      <c r="A44" s="4">
        <v>43135</v>
      </c>
      <c r="B44" s="2" t="s">
        <v>22</v>
      </c>
      <c r="C44" t="s">
        <v>6</v>
      </c>
      <c r="D44" t="s">
        <v>26</v>
      </c>
      <c r="E44" t="s">
        <v>27</v>
      </c>
      <c r="F44" t="s">
        <v>29</v>
      </c>
      <c r="G44" s="1">
        <f>+VENTAS2[[#This Row],[PRECIO  VENTA ]]-VENTAS2[[#This Row],[PRECIO  VENTA ]]*22.5%</f>
        <v>7727.4351000000006</v>
      </c>
      <c r="H44" s="1">
        <v>9970.884</v>
      </c>
      <c r="I44" s="2">
        <v>3</v>
      </c>
      <c r="J44" s="5">
        <f>+VENTAS2[[#This Row],[PRECIO DE COSTO]]*VENTAS2[[#This Row],[CANTIDAD]]</f>
        <v>23182.3053</v>
      </c>
      <c r="K44" s="3">
        <v>29912.652000000002</v>
      </c>
    </row>
    <row r="45" spans="1:11" x14ac:dyDescent="0.3">
      <c r="A45" s="4">
        <v>43136</v>
      </c>
      <c r="B45" s="2" t="s">
        <v>22</v>
      </c>
      <c r="C45" t="s">
        <v>6</v>
      </c>
      <c r="D45" t="s">
        <v>26</v>
      </c>
      <c r="E45" t="s">
        <v>27</v>
      </c>
      <c r="F45" t="s">
        <v>29</v>
      </c>
      <c r="G45" s="1">
        <f>+VENTAS2[[#This Row],[PRECIO  VENTA ]]-VENTAS2[[#This Row],[PRECIO  VENTA ]]*22.5%</f>
        <v>7727.4351000000006</v>
      </c>
      <c r="H45" s="1">
        <v>9970.884</v>
      </c>
      <c r="I45" s="2">
        <v>4</v>
      </c>
      <c r="J45" s="5">
        <f>+VENTAS2[[#This Row],[PRECIO DE COSTO]]*VENTAS2[[#This Row],[CANTIDAD]]</f>
        <v>30909.740400000002</v>
      </c>
      <c r="K45" s="3">
        <v>39883.536</v>
      </c>
    </row>
    <row r="46" spans="1:11" x14ac:dyDescent="0.3">
      <c r="A46" s="4">
        <v>43137</v>
      </c>
      <c r="B46" s="2" t="s">
        <v>19</v>
      </c>
      <c r="C46" t="s">
        <v>6</v>
      </c>
      <c r="D46" t="s">
        <v>7</v>
      </c>
      <c r="E46" t="s">
        <v>11</v>
      </c>
      <c r="F46" t="s">
        <v>12</v>
      </c>
      <c r="G46" s="1">
        <f>+VENTAS2[[#This Row],[PRECIO  VENTA ]]-VENTAS2[[#This Row],[PRECIO  VENTA ]]*22.5%</f>
        <v>5574.9237499999999</v>
      </c>
      <c r="H46" s="1">
        <v>7193.45</v>
      </c>
      <c r="I46" s="2">
        <v>5</v>
      </c>
      <c r="J46" s="5">
        <f>+VENTAS2[[#This Row],[PRECIO DE COSTO]]*VENTAS2[[#This Row],[CANTIDAD]]</f>
        <v>27874.618750000001</v>
      </c>
      <c r="K46" s="3">
        <v>35967.25</v>
      </c>
    </row>
    <row r="47" spans="1:11" x14ac:dyDescent="0.3">
      <c r="A47" s="4">
        <v>43142</v>
      </c>
      <c r="B47" s="2" t="s">
        <v>20</v>
      </c>
      <c r="C47" t="s">
        <v>6</v>
      </c>
      <c r="D47" t="s">
        <v>23</v>
      </c>
      <c r="E47" t="s">
        <v>24</v>
      </c>
      <c r="F47" t="s">
        <v>25</v>
      </c>
      <c r="G47" s="1">
        <f>+VENTAS2[[#This Row],[PRECIO  VENTA ]]-VENTAS2[[#This Row],[PRECIO  VENTA ]]*22.5%</f>
        <v>2236.5337500000001</v>
      </c>
      <c r="H47" s="1">
        <v>2885.85</v>
      </c>
      <c r="I47" s="2">
        <v>4</v>
      </c>
      <c r="J47" s="5">
        <f>+VENTAS2[[#This Row],[PRECIO DE COSTO]]*VENTAS2[[#This Row],[CANTIDAD]]</f>
        <v>8946.1350000000002</v>
      </c>
      <c r="K47" s="3">
        <v>11543.4</v>
      </c>
    </row>
    <row r="48" spans="1:11" x14ac:dyDescent="0.3">
      <c r="A48" s="4">
        <v>43145</v>
      </c>
      <c r="B48" s="2" t="s">
        <v>22</v>
      </c>
      <c r="C48" t="s">
        <v>6</v>
      </c>
      <c r="D48" t="s">
        <v>26</v>
      </c>
      <c r="E48" t="s">
        <v>27</v>
      </c>
      <c r="F48" t="s">
        <v>29</v>
      </c>
      <c r="G48" s="1">
        <f>+VENTAS2[[#This Row],[PRECIO  VENTA ]]-VENTAS2[[#This Row],[PRECIO  VENTA ]]*22.5%</f>
        <v>6664.0266000000001</v>
      </c>
      <c r="H48" s="1">
        <v>8598.7440000000006</v>
      </c>
      <c r="I48" s="2">
        <v>3</v>
      </c>
      <c r="J48" s="5">
        <f>+VENTAS2[[#This Row],[PRECIO DE COSTO]]*VENTAS2[[#This Row],[CANTIDAD]]</f>
        <v>19992.0798</v>
      </c>
      <c r="K48" s="3">
        <v>25796.232000000004</v>
      </c>
    </row>
    <row r="49" spans="1:11" x14ac:dyDescent="0.3">
      <c r="A49" s="4">
        <v>43146</v>
      </c>
      <c r="B49" s="2" t="s">
        <v>18</v>
      </c>
      <c r="C49" t="s">
        <v>6</v>
      </c>
      <c r="D49" t="s">
        <v>7</v>
      </c>
      <c r="E49" t="s">
        <v>10</v>
      </c>
      <c r="F49" t="s">
        <v>15</v>
      </c>
      <c r="G49" s="1">
        <f>+VENTAS2[[#This Row],[PRECIO  VENTA ]]-VENTAS2[[#This Row],[PRECIO  VENTA ]]*22.5%</f>
        <v>31508.400000000001</v>
      </c>
      <c r="H49" s="1">
        <v>40656</v>
      </c>
      <c r="I49" s="2">
        <v>1</v>
      </c>
      <c r="J49" s="5">
        <f>+VENTAS2[[#This Row],[PRECIO DE COSTO]]*VENTAS2[[#This Row],[CANTIDAD]]</f>
        <v>31508.400000000001</v>
      </c>
      <c r="K49" s="3">
        <v>40656</v>
      </c>
    </row>
    <row r="50" spans="1:11" x14ac:dyDescent="0.3">
      <c r="A50" s="4">
        <v>43150</v>
      </c>
      <c r="B50" s="2" t="s">
        <v>22</v>
      </c>
      <c r="C50" t="s">
        <v>6</v>
      </c>
      <c r="D50" t="s">
        <v>26</v>
      </c>
      <c r="E50" t="s">
        <v>27</v>
      </c>
      <c r="F50" t="s">
        <v>29</v>
      </c>
      <c r="G50" s="1">
        <f>+VENTAS2[[#This Row],[PRECIO  VENTA ]]-VENTAS2[[#This Row],[PRECIO  VENTA ]]*22.5%</f>
        <v>8081.9046000000008</v>
      </c>
      <c r="H50" s="1">
        <v>10428.264000000001</v>
      </c>
      <c r="I50" s="2">
        <v>1</v>
      </c>
      <c r="J50" s="5">
        <f>+VENTAS2[[#This Row],[PRECIO DE COSTO]]*VENTAS2[[#This Row],[CANTIDAD]]</f>
        <v>8081.9046000000008</v>
      </c>
      <c r="K50" s="3">
        <v>10428.264000000001</v>
      </c>
    </row>
    <row r="51" spans="1:11" x14ac:dyDescent="0.3">
      <c r="A51" s="4">
        <v>43152</v>
      </c>
      <c r="B51" s="2" t="s">
        <v>22</v>
      </c>
      <c r="C51" t="s">
        <v>6</v>
      </c>
      <c r="D51" t="s">
        <v>26</v>
      </c>
      <c r="E51" t="s">
        <v>27</v>
      </c>
      <c r="F51" t="s">
        <v>29</v>
      </c>
      <c r="G51" s="1">
        <f>+VENTAS2[[#This Row],[PRECIO  VENTA ]]-VENTAS2[[#This Row],[PRECIO  VENTA ]]*22.5%</f>
        <v>8365.4802</v>
      </c>
      <c r="H51" s="1">
        <v>10794.168</v>
      </c>
      <c r="I51" s="2">
        <v>2</v>
      </c>
      <c r="J51" s="5">
        <f>+VENTAS2[[#This Row],[PRECIO DE COSTO]]*VENTAS2[[#This Row],[CANTIDAD]]</f>
        <v>16730.9604</v>
      </c>
      <c r="K51" s="3">
        <v>21588.335999999999</v>
      </c>
    </row>
    <row r="52" spans="1:11" x14ac:dyDescent="0.3">
      <c r="A52" s="4">
        <v>43520</v>
      </c>
      <c r="B52" s="2" t="s">
        <v>22</v>
      </c>
      <c r="C52" t="s">
        <v>6</v>
      </c>
      <c r="D52" t="s">
        <v>26</v>
      </c>
      <c r="E52" t="s">
        <v>27</v>
      </c>
      <c r="F52" t="s">
        <v>29</v>
      </c>
      <c r="G52" s="1">
        <f>+VENTAS2[[#This Row],[PRECIO  VENTA ]]-VENTAS2[[#This Row],[PRECIO  VENTA ]]*22.5%</f>
        <v>8649.0558000000001</v>
      </c>
      <c r="H52" s="1">
        <v>11160.072</v>
      </c>
      <c r="I52" s="2">
        <v>4</v>
      </c>
      <c r="J52" s="5">
        <f>+VENTAS2[[#This Row],[PRECIO DE COSTO]]*VENTAS2[[#This Row],[CANTIDAD]]</f>
        <v>34596.2232</v>
      </c>
      <c r="K52" s="3">
        <v>44640.288</v>
      </c>
    </row>
    <row r="53" spans="1:11" x14ac:dyDescent="0.3">
      <c r="A53" s="4">
        <v>43522</v>
      </c>
      <c r="B53" s="2" t="s">
        <v>18</v>
      </c>
      <c r="C53" t="s">
        <v>6</v>
      </c>
      <c r="D53" t="s">
        <v>7</v>
      </c>
      <c r="E53" t="s">
        <v>10</v>
      </c>
      <c r="F53" t="s">
        <v>15</v>
      </c>
      <c r="G53" s="1">
        <f>+VENTAS2[[#This Row],[PRECIO  VENTA ]]-VENTAS2[[#This Row],[PRECIO  VENTA ]]*22.5%</f>
        <v>23946.384000000002</v>
      </c>
      <c r="H53" s="1">
        <v>30898.560000000001</v>
      </c>
      <c r="I53" s="2">
        <v>4</v>
      </c>
      <c r="J53" s="5">
        <f>+VENTAS2[[#This Row],[PRECIO DE COSTO]]*VENTAS2[[#This Row],[CANTIDAD]]</f>
        <v>95785.536000000007</v>
      </c>
      <c r="K53" s="3">
        <v>123594.24000000001</v>
      </c>
    </row>
    <row r="54" spans="1:11" x14ac:dyDescent="0.3">
      <c r="A54" s="4">
        <v>43523</v>
      </c>
      <c r="B54" s="2" t="s">
        <v>21</v>
      </c>
      <c r="C54" t="s">
        <v>6</v>
      </c>
      <c r="D54" t="s">
        <v>26</v>
      </c>
      <c r="E54" t="s">
        <v>9</v>
      </c>
      <c r="F54" t="s">
        <v>28</v>
      </c>
      <c r="G54" s="1">
        <f>+VENTAS2[[#This Row],[PRECIO  VENTA ]]-VENTAS2[[#This Row],[PRECIO  VENTA ]]*22.5%</f>
        <v>5595.5542499999992</v>
      </c>
      <c r="H54" s="1">
        <v>7220.07</v>
      </c>
      <c r="I54" s="2">
        <v>2</v>
      </c>
      <c r="J54" s="5">
        <f>+VENTAS2[[#This Row],[PRECIO DE COSTO]]*VENTAS2[[#This Row],[CANTIDAD]]</f>
        <v>11191.108499999998</v>
      </c>
      <c r="K54" s="3">
        <v>14440.14</v>
      </c>
    </row>
    <row r="55" spans="1:11" x14ac:dyDescent="0.3">
      <c r="A55" s="4">
        <v>43161</v>
      </c>
      <c r="B55" s="2" t="s">
        <v>16</v>
      </c>
      <c r="C55" t="s">
        <v>6</v>
      </c>
      <c r="D55" t="s">
        <v>7</v>
      </c>
      <c r="E55" t="s">
        <v>8</v>
      </c>
      <c r="F55" t="s">
        <v>13</v>
      </c>
      <c r="G55" s="1">
        <f>+VENTAS2[[#This Row],[PRECIO  VENTA ]]-VENTAS2[[#This Row],[PRECIO  VENTA ]]*22.5%</f>
        <v>9112.5856249999997</v>
      </c>
      <c r="H55" s="1">
        <v>11758.174999999999</v>
      </c>
      <c r="I55" s="2">
        <v>5</v>
      </c>
      <c r="J55" s="5">
        <f>+VENTAS2[[#This Row],[PRECIO DE COSTO]]*VENTAS2[[#This Row],[CANTIDAD]]</f>
        <v>45562.928124999999</v>
      </c>
      <c r="K55" s="3">
        <v>58790.875</v>
      </c>
    </row>
    <row r="56" spans="1:11" x14ac:dyDescent="0.3">
      <c r="A56" s="4">
        <v>43163</v>
      </c>
      <c r="B56" s="2" t="s">
        <v>20</v>
      </c>
      <c r="C56" t="s">
        <v>6</v>
      </c>
      <c r="D56" t="s">
        <v>23</v>
      </c>
      <c r="E56" t="s">
        <v>24</v>
      </c>
      <c r="F56" t="s">
        <v>25</v>
      </c>
      <c r="G56" s="1">
        <f>+VENTAS2[[#This Row],[PRECIO  VENTA ]]-VENTAS2[[#This Row],[PRECIO  VENTA ]]*22.5%</f>
        <v>1920.0431249999999</v>
      </c>
      <c r="H56" s="1">
        <v>2477.4749999999999</v>
      </c>
      <c r="I56" s="2">
        <v>1</v>
      </c>
      <c r="J56" s="5">
        <f>+VENTAS2[[#This Row],[PRECIO DE COSTO]]*VENTAS2[[#This Row],[CANTIDAD]]</f>
        <v>1920.0431249999999</v>
      </c>
      <c r="K56" s="3">
        <v>2477.4749999999999</v>
      </c>
    </row>
    <row r="57" spans="1:11" x14ac:dyDescent="0.3">
      <c r="A57" s="4">
        <v>43165</v>
      </c>
      <c r="B57" s="2" t="s">
        <v>17</v>
      </c>
      <c r="C57" t="s">
        <v>6</v>
      </c>
      <c r="D57" t="s">
        <v>7</v>
      </c>
      <c r="E57" t="s">
        <v>9</v>
      </c>
      <c r="F57" t="s">
        <v>14</v>
      </c>
      <c r="G57" s="1">
        <f>+VENTAS2[[#This Row],[PRECIO  VENTA ]]-VENTAS2[[#This Row],[PRECIO  VENTA ]]*22.5%</f>
        <v>20134.310686875004</v>
      </c>
      <c r="H57" s="1">
        <v>25979.755725000003</v>
      </c>
      <c r="I57" s="2">
        <v>5</v>
      </c>
      <c r="J57" s="5">
        <f>+VENTAS2[[#This Row],[PRECIO DE COSTO]]*VENTAS2[[#This Row],[CANTIDAD]]</f>
        <v>100671.55343437502</v>
      </c>
      <c r="K57" s="3">
        <v>129898.77862500001</v>
      </c>
    </row>
    <row r="58" spans="1:11" x14ac:dyDescent="0.3">
      <c r="A58" s="4">
        <v>43170</v>
      </c>
      <c r="B58" s="2" t="s">
        <v>17</v>
      </c>
      <c r="C58" t="s">
        <v>6</v>
      </c>
      <c r="D58" t="s">
        <v>7</v>
      </c>
      <c r="E58" t="s">
        <v>9</v>
      </c>
      <c r="F58" t="s">
        <v>14</v>
      </c>
      <c r="G58" s="1">
        <f>+VENTAS2[[#This Row],[PRECIO  VENTA ]]-VENTAS2[[#This Row],[PRECIO  VENTA ]]*22.5%</f>
        <v>17693.788179375006</v>
      </c>
      <c r="H58" s="1">
        <v>22830.694425000005</v>
      </c>
      <c r="I58" s="2">
        <v>1</v>
      </c>
      <c r="J58" s="5">
        <f>+VENTAS2[[#This Row],[PRECIO DE COSTO]]*VENTAS2[[#This Row],[CANTIDAD]]</f>
        <v>17693.788179375006</v>
      </c>
      <c r="K58" s="3">
        <v>22830.694425000005</v>
      </c>
    </row>
    <row r="59" spans="1:11" x14ac:dyDescent="0.3">
      <c r="A59" s="4">
        <v>43172</v>
      </c>
      <c r="B59" s="2" t="s">
        <v>19</v>
      </c>
      <c r="C59" t="s">
        <v>6</v>
      </c>
      <c r="D59" t="s">
        <v>7</v>
      </c>
      <c r="E59" t="s">
        <v>11</v>
      </c>
      <c r="F59" t="s">
        <v>12</v>
      </c>
      <c r="G59" s="1">
        <f>+VENTAS2[[#This Row],[PRECIO  VENTA ]]-VENTAS2[[#This Row],[PRECIO  VENTA ]]*22.5%</f>
        <v>7546.5431250000001</v>
      </c>
      <c r="H59" s="1">
        <v>9737.4750000000004</v>
      </c>
      <c r="I59" s="2">
        <v>3</v>
      </c>
      <c r="J59" s="5">
        <f>+VENTAS2[[#This Row],[PRECIO DE COSTO]]*VENTAS2[[#This Row],[CANTIDAD]]</f>
        <v>22639.629375</v>
      </c>
      <c r="K59" s="3">
        <v>29212.425000000003</v>
      </c>
    </row>
    <row r="60" spans="1:11" x14ac:dyDescent="0.3">
      <c r="A60" s="4">
        <v>43175</v>
      </c>
      <c r="B60" s="2" t="s">
        <v>18</v>
      </c>
      <c r="C60" t="s">
        <v>6</v>
      </c>
      <c r="D60" t="s">
        <v>7</v>
      </c>
      <c r="E60" t="s">
        <v>10</v>
      </c>
      <c r="F60" t="s">
        <v>15</v>
      </c>
      <c r="G60" s="1">
        <f>+VENTAS2[[#This Row],[PRECIO  VENTA ]]-VENTAS2[[#This Row],[PRECIO  VENTA ]]*22.5%</f>
        <v>29491.862400000002</v>
      </c>
      <c r="H60" s="1">
        <v>38054.016000000003</v>
      </c>
      <c r="I60" s="2">
        <v>2</v>
      </c>
      <c r="J60" s="5">
        <f>+VENTAS2[[#This Row],[PRECIO DE COSTO]]*VENTAS2[[#This Row],[CANTIDAD]]</f>
        <v>58983.724800000004</v>
      </c>
      <c r="K60" s="3">
        <v>76108.032000000007</v>
      </c>
    </row>
    <row r="61" spans="1:11" x14ac:dyDescent="0.3">
      <c r="A61" s="4">
        <v>43181</v>
      </c>
      <c r="B61" s="2" t="s">
        <v>16</v>
      </c>
      <c r="C61" t="s">
        <v>6</v>
      </c>
      <c r="D61" t="s">
        <v>7</v>
      </c>
      <c r="E61" t="s">
        <v>8</v>
      </c>
      <c r="F61" t="s">
        <v>13</v>
      </c>
      <c r="G61" s="1">
        <f>+VENTAS2[[#This Row],[PRECIO  VENTA ]]-VENTAS2[[#This Row],[PRECIO  VENTA ]]*22.5%</f>
        <v>8399.4267499999987</v>
      </c>
      <c r="H61" s="1">
        <v>10837.97</v>
      </c>
      <c r="I61" s="2">
        <v>3</v>
      </c>
      <c r="J61" s="5">
        <f>+VENTAS2[[#This Row],[PRECIO DE COSTO]]*VENTAS2[[#This Row],[CANTIDAD]]</f>
        <v>25198.280249999996</v>
      </c>
      <c r="K61" s="3">
        <v>32513.909999999996</v>
      </c>
    </row>
    <row r="62" spans="1:11" x14ac:dyDescent="0.3">
      <c r="A62" s="4">
        <v>43186</v>
      </c>
      <c r="B62" s="2" t="s">
        <v>20</v>
      </c>
      <c r="C62" t="s">
        <v>6</v>
      </c>
      <c r="D62" t="s">
        <v>23</v>
      </c>
      <c r="E62" t="s">
        <v>24</v>
      </c>
      <c r="F62" t="s">
        <v>25</v>
      </c>
      <c r="G62" s="1">
        <f>+VENTAS2[[#This Row],[PRECIO  VENTA ]]-VENTAS2[[#This Row],[PRECIO  VENTA ]]*22.5%</f>
        <v>2109.9375</v>
      </c>
      <c r="H62" s="1">
        <v>2722.5</v>
      </c>
      <c r="I62" s="2">
        <v>1</v>
      </c>
      <c r="J62" s="5">
        <f>+VENTAS2[[#This Row],[PRECIO DE COSTO]]*VENTAS2[[#This Row],[CANTIDAD]]</f>
        <v>2109.9375</v>
      </c>
      <c r="K62" s="3">
        <v>2722.5</v>
      </c>
    </row>
    <row r="63" spans="1:11" x14ac:dyDescent="0.3">
      <c r="A63" s="4">
        <v>43189</v>
      </c>
      <c r="B63" s="2" t="s">
        <v>21</v>
      </c>
      <c r="C63" t="s">
        <v>6</v>
      </c>
      <c r="D63" t="s">
        <v>26</v>
      </c>
      <c r="E63" t="s">
        <v>9</v>
      </c>
      <c r="F63" t="s">
        <v>28</v>
      </c>
      <c r="G63" s="1">
        <f>+VENTAS2[[#This Row],[PRECIO  VENTA ]]-VENTAS2[[#This Row],[PRECIO  VENTA ]]*22.5%</f>
        <v>5211.5456249999997</v>
      </c>
      <c r="H63" s="1">
        <v>6724.5749999999998</v>
      </c>
      <c r="I63" s="2">
        <v>1</v>
      </c>
      <c r="J63" s="5">
        <f>+VENTAS2[[#This Row],[PRECIO DE COSTO]]*VENTAS2[[#This Row],[CANTIDAD]]</f>
        <v>5211.5456249999997</v>
      </c>
      <c r="K63" s="3">
        <v>6724.5749999999998</v>
      </c>
    </row>
    <row r="64" spans="1:11" x14ac:dyDescent="0.3">
      <c r="A64" s="4">
        <v>43192</v>
      </c>
      <c r="B64" s="2" t="s">
        <v>20</v>
      </c>
      <c r="C64" t="s">
        <v>6</v>
      </c>
      <c r="D64" t="s">
        <v>23</v>
      </c>
      <c r="E64" t="s">
        <v>24</v>
      </c>
      <c r="F64" t="s">
        <v>25</v>
      </c>
      <c r="G64" s="1">
        <f>+VENTAS2[[#This Row],[PRECIO  VENTA ]]-VENTAS2[[#This Row],[PRECIO  VENTA ]]*22.5%</f>
        <v>2236.5337500000001</v>
      </c>
      <c r="H64" s="1">
        <v>2885.85</v>
      </c>
      <c r="I64" s="2">
        <v>4</v>
      </c>
      <c r="J64" s="5">
        <f>+VENTAS2[[#This Row],[PRECIO DE COSTO]]*VENTAS2[[#This Row],[CANTIDAD]]</f>
        <v>8946.1350000000002</v>
      </c>
      <c r="K64" s="3">
        <v>11543.4</v>
      </c>
    </row>
    <row r="65" spans="1:11" x14ac:dyDescent="0.3">
      <c r="A65" s="4">
        <v>43194</v>
      </c>
      <c r="B65" s="2" t="s">
        <v>20</v>
      </c>
      <c r="C65" t="s">
        <v>6</v>
      </c>
      <c r="D65" t="s">
        <v>23</v>
      </c>
      <c r="E65" t="s">
        <v>24</v>
      </c>
      <c r="F65" t="s">
        <v>25</v>
      </c>
      <c r="G65" s="1">
        <f>+VENTAS2[[#This Row],[PRECIO  VENTA ]]-VENTAS2[[#This Row],[PRECIO  VENTA ]]*22.5%</f>
        <v>2405.3287500000001</v>
      </c>
      <c r="H65" s="1">
        <v>3103.65</v>
      </c>
      <c r="I65" s="2">
        <v>3</v>
      </c>
      <c r="J65" s="5">
        <f>+VENTAS2[[#This Row],[PRECIO DE COSTO]]*VENTAS2[[#This Row],[CANTIDAD]]</f>
        <v>7215.9862499999999</v>
      </c>
      <c r="K65" s="3">
        <v>9310.9500000000007</v>
      </c>
    </row>
    <row r="66" spans="1:11" x14ac:dyDescent="0.3">
      <c r="A66" s="4">
        <v>43196</v>
      </c>
      <c r="B66" s="2" t="s">
        <v>21</v>
      </c>
      <c r="C66" t="s">
        <v>6</v>
      </c>
      <c r="D66" t="s">
        <v>26</v>
      </c>
      <c r="E66" t="s">
        <v>9</v>
      </c>
      <c r="F66" t="s">
        <v>28</v>
      </c>
      <c r="G66" s="1">
        <f>+VENTAS2[[#This Row],[PRECIO  VENTA ]]-VENTAS2[[#This Row],[PRECIO  VENTA ]]*22.5%</f>
        <v>5924.7044999999998</v>
      </c>
      <c r="H66" s="1">
        <v>7644.78</v>
      </c>
      <c r="I66" s="2">
        <v>2</v>
      </c>
      <c r="J66" s="5">
        <f>+VENTAS2[[#This Row],[PRECIO DE COSTO]]*VENTAS2[[#This Row],[CANTIDAD]]</f>
        <v>11849.409</v>
      </c>
      <c r="K66" s="3">
        <v>15289.56</v>
      </c>
    </row>
    <row r="67" spans="1:11" x14ac:dyDescent="0.3">
      <c r="A67" s="4">
        <v>43197</v>
      </c>
      <c r="B67" s="2" t="s">
        <v>19</v>
      </c>
      <c r="C67" t="s">
        <v>6</v>
      </c>
      <c r="D67" t="s">
        <v>7</v>
      </c>
      <c r="E67" t="s">
        <v>11</v>
      </c>
      <c r="F67" t="s">
        <v>12</v>
      </c>
      <c r="G67" s="1">
        <f>+VENTAS2[[#This Row],[PRECIO  VENTA ]]-VENTAS2[[#This Row],[PRECIO  VENTA ]]*22.5%</f>
        <v>6798.6875</v>
      </c>
      <c r="H67" s="1">
        <v>8772.5</v>
      </c>
      <c r="I67" s="2">
        <v>4</v>
      </c>
      <c r="J67" s="5">
        <f>+VENTAS2[[#This Row],[PRECIO DE COSTO]]*VENTAS2[[#This Row],[CANTIDAD]]</f>
        <v>27194.75</v>
      </c>
      <c r="K67" s="3">
        <v>35090</v>
      </c>
    </row>
    <row r="68" spans="1:11" x14ac:dyDescent="0.3">
      <c r="A68" s="4">
        <v>43567</v>
      </c>
      <c r="B68" s="2" t="s">
        <v>20</v>
      </c>
      <c r="C68" t="s">
        <v>6</v>
      </c>
      <c r="D68" t="s">
        <v>23</v>
      </c>
      <c r="E68" t="s">
        <v>24</v>
      </c>
      <c r="F68" t="s">
        <v>25</v>
      </c>
      <c r="G68" s="1">
        <f>+VENTAS2[[#This Row],[PRECIO  VENTA ]]-VENTAS2[[#This Row],[PRECIO  VENTA ]]*22.5%</f>
        <v>2236.5337500000001</v>
      </c>
      <c r="H68" s="1">
        <v>2885.85</v>
      </c>
      <c r="I68" s="2">
        <v>2</v>
      </c>
      <c r="J68" s="5">
        <f>+VENTAS2[[#This Row],[PRECIO DE COSTO]]*VENTAS2[[#This Row],[CANTIDAD]]</f>
        <v>4473.0675000000001</v>
      </c>
      <c r="K68" s="3">
        <v>5771.7</v>
      </c>
    </row>
    <row r="69" spans="1:11" x14ac:dyDescent="0.3">
      <c r="A69" s="4">
        <v>43569</v>
      </c>
      <c r="B69" s="2" t="s">
        <v>19</v>
      </c>
      <c r="C69" t="s">
        <v>6</v>
      </c>
      <c r="D69" t="s">
        <v>7</v>
      </c>
      <c r="E69" t="s">
        <v>11</v>
      </c>
      <c r="F69" t="s">
        <v>12</v>
      </c>
      <c r="G69" s="1">
        <f>+VENTAS2[[#This Row],[PRECIO  VENTA ]]-VENTAS2[[#This Row],[PRECIO  VENTA ]]*22.5%</f>
        <v>7410.5693749999991</v>
      </c>
      <c r="H69" s="1">
        <v>9562.0249999999996</v>
      </c>
      <c r="I69" s="2">
        <v>4</v>
      </c>
      <c r="J69" s="5">
        <f>+VENTAS2[[#This Row],[PRECIO DE COSTO]]*VENTAS2[[#This Row],[CANTIDAD]]</f>
        <v>29642.277499999997</v>
      </c>
      <c r="K69" s="3">
        <v>38248.1</v>
      </c>
    </row>
    <row r="70" spans="1:11" x14ac:dyDescent="0.3">
      <c r="A70" s="4">
        <v>43572</v>
      </c>
      <c r="B70" s="2" t="s">
        <v>16</v>
      </c>
      <c r="C70" t="s">
        <v>6</v>
      </c>
      <c r="D70" t="s">
        <v>7</v>
      </c>
      <c r="E70" t="s">
        <v>8</v>
      </c>
      <c r="F70" t="s">
        <v>13</v>
      </c>
      <c r="G70" s="1">
        <f>+VENTAS2[[#This Row],[PRECIO  VENTA ]]-VENTAS2[[#This Row],[PRECIO  VENTA ]]*22.5%</f>
        <v>6418.4298749999998</v>
      </c>
      <c r="H70" s="1">
        <v>8281.8449999999993</v>
      </c>
      <c r="I70" s="2">
        <v>4</v>
      </c>
      <c r="J70" s="5">
        <f>+VENTAS2[[#This Row],[PRECIO DE COSTO]]*VENTAS2[[#This Row],[CANTIDAD]]</f>
        <v>25673.719499999999</v>
      </c>
      <c r="K70" s="3">
        <v>33127.379999999997</v>
      </c>
    </row>
    <row r="71" spans="1:11" x14ac:dyDescent="0.3">
      <c r="A71" s="4">
        <v>43208</v>
      </c>
      <c r="B71" s="2" t="s">
        <v>21</v>
      </c>
      <c r="C71" t="s">
        <v>6</v>
      </c>
      <c r="D71" t="s">
        <v>26</v>
      </c>
      <c r="E71" t="s">
        <v>9</v>
      </c>
      <c r="F71" t="s">
        <v>28</v>
      </c>
      <c r="G71" s="1">
        <f>+VENTAS2[[#This Row],[PRECIO  VENTA ]]-VENTAS2[[#This Row],[PRECIO  VENTA ]]*22.5%</f>
        <v>4937.2537499999999</v>
      </c>
      <c r="H71" s="1">
        <v>6370.65</v>
      </c>
      <c r="I71" s="2">
        <v>5</v>
      </c>
      <c r="J71" s="5">
        <f>+VENTAS2[[#This Row],[PRECIO DE COSTO]]*VENTAS2[[#This Row],[CANTIDAD]]</f>
        <v>24686.268749999999</v>
      </c>
      <c r="K71" s="3">
        <v>31853.25</v>
      </c>
    </row>
    <row r="72" spans="1:11" x14ac:dyDescent="0.3">
      <c r="A72" s="4">
        <v>43210</v>
      </c>
      <c r="B72" s="2" t="s">
        <v>19</v>
      </c>
      <c r="C72" t="s">
        <v>6</v>
      </c>
      <c r="D72" t="s">
        <v>7</v>
      </c>
      <c r="E72" t="s">
        <v>11</v>
      </c>
      <c r="F72" t="s">
        <v>12</v>
      </c>
      <c r="G72" s="1">
        <f>+VENTAS2[[#This Row],[PRECIO  VENTA ]]-VENTAS2[[#This Row],[PRECIO  VENTA ]]*22.5%</f>
        <v>8430.3724999999995</v>
      </c>
      <c r="H72" s="1">
        <v>10877.9</v>
      </c>
      <c r="I72" s="2">
        <v>4</v>
      </c>
      <c r="J72" s="5">
        <f>+VENTAS2[[#This Row],[PRECIO DE COSTO]]*VENTAS2[[#This Row],[CANTIDAD]]</f>
        <v>33721.49</v>
      </c>
      <c r="K72" s="3">
        <v>43511.6</v>
      </c>
    </row>
    <row r="73" spans="1:11" x14ac:dyDescent="0.3">
      <c r="A73" s="4"/>
    </row>
    <row r="74" spans="1:11" x14ac:dyDescent="0.3">
      <c r="A74" s="4"/>
    </row>
    <row r="75" spans="1:11" x14ac:dyDescent="0.3">
      <c r="A75" s="4"/>
    </row>
    <row r="76" spans="1:11" x14ac:dyDescent="0.3">
      <c r="A76" s="4"/>
    </row>
    <row r="77" spans="1:11" x14ac:dyDescent="0.3">
      <c r="A77" s="4"/>
    </row>
    <row r="78" spans="1:11" x14ac:dyDescent="0.3">
      <c r="A78" s="4"/>
    </row>
    <row r="79" spans="1:11" x14ac:dyDescent="0.3">
      <c r="A79" s="4"/>
    </row>
    <row r="80" spans="1:1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 Argentina</dc:creator>
  <cp:lastModifiedBy>Usuario de Windows</cp:lastModifiedBy>
  <dcterms:created xsi:type="dcterms:W3CDTF">2019-03-09T19:54:06Z</dcterms:created>
  <dcterms:modified xsi:type="dcterms:W3CDTF">2021-01-20T16:02:27Z</dcterms:modified>
</cp:coreProperties>
</file>